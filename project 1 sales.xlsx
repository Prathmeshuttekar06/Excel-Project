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rathmesh\Downloads\projects of excel\"/>
    </mc:Choice>
  </mc:AlternateContent>
  <xr:revisionPtr revIDLastSave="0" documentId="8_{1EF8F124-7C7B-4917-BD58-7CE7AEA33577}" xr6:coauthVersionLast="47" xr6:coauthVersionMax="47" xr10:uidLastSave="{00000000-0000-0000-0000-000000000000}"/>
  <bookViews>
    <workbookView xWindow="-110" yWindow="-110" windowWidth="19420" windowHeight="10300" xr2:uid="{B9BEEDF7-F334-4DC2-8F98-646C54C44A8D}"/>
  </bookViews>
  <sheets>
    <sheet name="Sheet1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O9" i="1"/>
  <c r="L9" i="1"/>
  <c r="N5" i="1"/>
  <c r="L5" i="1"/>
  <c r="B2" i="1"/>
</calcChain>
</file>

<file path=xl/sharedStrings.xml><?xml version="1.0" encoding="utf-8"?>
<sst xmlns="http://schemas.openxmlformats.org/spreadsheetml/2006/main" count="69" uniqueCount="32">
  <si>
    <t>Order_ID</t>
  </si>
  <si>
    <t>Date</t>
  </si>
  <si>
    <t>Region</t>
  </si>
  <si>
    <t>Salesperson</t>
  </si>
  <si>
    <t>Product</t>
  </si>
  <si>
    <t>Category</t>
  </si>
  <si>
    <t>Units</t>
  </si>
  <si>
    <t>Unit_Price</t>
  </si>
  <si>
    <t>Total_Sales</t>
  </si>
  <si>
    <t>West</t>
  </si>
  <si>
    <t>Rahul</t>
  </si>
  <si>
    <t>Laptop</t>
  </si>
  <si>
    <t>Electronics</t>
  </si>
  <si>
    <t>North</t>
  </si>
  <si>
    <t>Amit</t>
  </si>
  <si>
    <t>Phone</t>
  </si>
  <si>
    <t>South</t>
  </si>
  <si>
    <t>Sneha</t>
  </si>
  <si>
    <t>Chair</t>
  </si>
  <si>
    <t>Furniture</t>
  </si>
  <si>
    <t>East</t>
  </si>
  <si>
    <t>Neha</t>
  </si>
  <si>
    <t>Table</t>
  </si>
  <si>
    <t>Tablet</t>
  </si>
  <si>
    <t>Desk</t>
  </si>
  <si>
    <t>Total sales</t>
  </si>
  <si>
    <t>Total Units Solds :</t>
  </si>
  <si>
    <t>Total Average of unit price</t>
  </si>
  <si>
    <t>Maximum Total Sales:</t>
  </si>
  <si>
    <t>Minimum Total sales:</t>
  </si>
  <si>
    <t>Orders are in Electronics Category: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</si>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</sst>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9"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1 sales.xlsx]Sheet1!PivotTable1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Sheet1!$L$17:$L$29</c:f>
              <c:multiLvlStrCache>
                <c:ptCount val="8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Electronics</c:v>
                  </c:pt>
                  <c:pt idx="7">
                    <c:v>Furniture</c:v>
                  </c:pt>
                </c:lvl>
                <c:lvl>
                  <c:pt idx="0">
                    <c:v>West</c:v>
                  </c:pt>
                  <c:pt idx="2">
                    <c:v>South</c:v>
                  </c:pt>
                  <c:pt idx="4">
                    <c:v>North</c:v>
                  </c:pt>
                  <c:pt idx="6">
                    <c:v>East</c:v>
                  </c:pt>
                </c:lvl>
              </c:multiLvlStrCache>
            </c:multiLvlStrRef>
          </c:cat>
          <c:val>
            <c:numRef>
              <c:f>Sheet1!$M$17:$M$29</c:f>
              <c:numCache>
                <c:formatCode>General</c:formatCode>
                <c:ptCount val="8"/>
                <c:pt idx="0">
                  <c:v>170000</c:v>
                </c:pt>
                <c:pt idx="1">
                  <c:v>25600</c:v>
                </c:pt>
                <c:pt idx="2">
                  <c:v>108000</c:v>
                </c:pt>
                <c:pt idx="3">
                  <c:v>30000</c:v>
                </c:pt>
                <c:pt idx="4">
                  <c:v>142000</c:v>
                </c:pt>
                <c:pt idx="5">
                  <c:v>20000</c:v>
                </c:pt>
                <c:pt idx="6">
                  <c:v>60000</c:v>
                </c:pt>
                <c:pt idx="7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F-4F00-93EA-333E528359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43480176"/>
        <c:axId val="1243489296"/>
      </c:barChart>
      <c:catAx>
        <c:axId val="124348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89296"/>
        <c:crosses val="autoZero"/>
        <c:auto val="1"/>
        <c:lblAlgn val="ctr"/>
        <c:lblOffset val="100"/>
        <c:noMultiLvlLbl val="0"/>
      </c:catAx>
      <c:valAx>
        <c:axId val="124348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8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17</xdr:row>
      <xdr:rowOff>19050</xdr:rowOff>
    </xdr:from>
    <xdr:to>
      <xdr:col>23</xdr:col>
      <xdr:colOff>146050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ED88F-D6BF-706E-C7B8-B22A235D4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mesh" refreshedDate="46109.554787152774" createdVersion="8" refreshedVersion="8" minRefreshableVersion="3" recordCount="10" xr:uid="{EF19702E-733D-43A6-85D8-340436087768}">
  <cacheSource type="worksheet">
    <worksheetSource ref="A1:I11" sheet="Sheet1"/>
  </cacheSource>
  <cacheFields count="9">
    <cacheField name="Order_ID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4-01-01T00:00:00" maxDate="2024-01-11T00:00:00"/>
    </cacheField>
    <cacheField name="Region" numFmtId="0">
      <sharedItems count="4">
        <s v="West"/>
        <s v="North"/>
        <s v="South"/>
        <s v="East"/>
      </sharedItems>
    </cacheField>
    <cacheField name="Salesperson" numFmtId="0">
      <sharedItems count="4">
        <s v="Rahul"/>
        <s v="Amit"/>
        <s v="Sneha"/>
        <s v="Neha"/>
      </sharedItems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Units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3000" maxValue="60000"/>
    </cacheField>
    <cacheField name="Total_Sales" numFmtId="0">
      <sharedItems containsSemiMixedTypes="0" containsString="0" containsNumber="1" containsInteger="1" minValue="20000" maxValue="110000" count="9">
        <n v="110000"/>
        <n v="100000"/>
        <n v="30000"/>
        <n v="21000"/>
        <n v="60000"/>
        <n v="20000"/>
        <n v="108000"/>
        <n v="25600"/>
        <n v="4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4-01-01T00:00:00"/>
    <x v="0"/>
    <x v="0"/>
    <s v="Laptop"/>
    <x v="0"/>
    <n v="2"/>
    <n v="55000"/>
    <x v="0"/>
  </r>
  <r>
    <n v="1002"/>
    <d v="2024-01-02T00:00:00"/>
    <x v="1"/>
    <x v="1"/>
    <s v="Phone"/>
    <x v="0"/>
    <n v="5"/>
    <n v="20000"/>
    <x v="1"/>
  </r>
  <r>
    <n v="1003"/>
    <d v="2024-01-03T00:00:00"/>
    <x v="2"/>
    <x v="2"/>
    <s v="Chair"/>
    <x v="1"/>
    <n v="10"/>
    <n v="3000"/>
    <x v="2"/>
  </r>
  <r>
    <n v="1004"/>
    <d v="2024-01-04T00:00:00"/>
    <x v="3"/>
    <x v="3"/>
    <s v="Table"/>
    <x v="1"/>
    <n v="3"/>
    <n v="7000"/>
    <x v="3"/>
  </r>
  <r>
    <n v="1005"/>
    <d v="2024-01-05T00:00:00"/>
    <x v="0"/>
    <x v="0"/>
    <s v="Tablet"/>
    <x v="0"/>
    <n v="4"/>
    <n v="15000"/>
    <x v="4"/>
  </r>
  <r>
    <n v="1006"/>
    <d v="2024-01-06T00:00:00"/>
    <x v="1"/>
    <x v="1"/>
    <s v="Desk"/>
    <x v="1"/>
    <n v="2"/>
    <n v="10000"/>
    <x v="5"/>
  </r>
  <r>
    <n v="1007"/>
    <d v="2024-01-07T00:00:00"/>
    <x v="2"/>
    <x v="2"/>
    <s v="Phone"/>
    <x v="0"/>
    <n v="6"/>
    <n v="18000"/>
    <x v="6"/>
  </r>
  <r>
    <n v="1008"/>
    <d v="2024-01-08T00:00:00"/>
    <x v="3"/>
    <x v="3"/>
    <s v="Laptop"/>
    <x v="0"/>
    <n v="1"/>
    <n v="60000"/>
    <x v="4"/>
  </r>
  <r>
    <n v="1009"/>
    <d v="2024-01-09T00:00:00"/>
    <x v="0"/>
    <x v="0"/>
    <s v="Chair"/>
    <x v="1"/>
    <n v="8"/>
    <n v="3200"/>
    <x v="7"/>
  </r>
  <r>
    <n v="1010"/>
    <d v="2024-01-10T00:00:00"/>
    <x v="1"/>
    <x v="1"/>
    <s v="Tablet"/>
    <x v="0"/>
    <n v="3"/>
    <n v="140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1FD90-0960-4172-9E0E-696455E2A66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Region">
  <location ref="L16:M29" firstHeaderRow="1" firstDataRow="1" firstDataCol="1"/>
  <pivotFields count="9">
    <pivotField showAll="0"/>
    <pivotField numFmtId="14" showAll="0"/>
    <pivotField axis="axisRow" showAll="0" sortType="descending">
      <items count="5">
        <item x="0"/>
        <item x="2"/>
        <item x="1"/>
        <item x="3"/>
        <item t="default"/>
      </items>
    </pivotField>
    <pivotField showAll="0">
      <items count="5">
        <item sd="0" x="1"/>
        <item sd="0" x="3"/>
        <item sd="0" x="0"/>
        <item sd="0" x="2"/>
        <item t="default" sd="0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10">
        <item x="5"/>
        <item x="3"/>
        <item x="7"/>
        <item x="2"/>
        <item x="8"/>
        <item x="4"/>
        <item x="1"/>
        <item x="6"/>
        <item x="0"/>
        <item t="default"/>
      </items>
    </pivotField>
  </pivotFields>
  <rowFields count="2">
    <field x="2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Total sales" fld="8" baseField="0" baseItem="0"/>
  </dataFields>
  <formats count="5">
    <format dxfId="0">
      <pivotArea collapsedLevelsAreSubtotals="1" fieldPosition="0">
        <references count="1">
          <reference field="2" count="1">
            <x v="0"/>
          </reference>
        </references>
      </pivotArea>
    </format>
    <format dxfId="1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1">
          <reference field="2" count="1">
            <x v="2"/>
          </reference>
        </references>
      </pivotArea>
    </format>
    <format dxfId="3">
      <pivotArea collapsedLevelsAreSubtotals="1" fieldPosition="0">
        <references count="1">
          <reference field="2" count="1">
            <x v="3"/>
          </reference>
        </references>
      </pivotArea>
    </format>
    <format dxfId="4">
      <pivotArea grandRow="1" outline="0" collapsedLevelsAreSubtotals="1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8611-681C-4A39-AF29-2BBE4CAC856D}">
  <dimension ref="A1:O29"/>
  <sheetViews>
    <sheetView tabSelected="1" topLeftCell="H15" workbookViewId="0">
      <selection activeCell="X25" sqref="X25"/>
    </sheetView>
  </sheetViews>
  <sheetFormatPr defaultRowHeight="14.5" x14ac:dyDescent="0.35"/>
  <cols>
    <col min="2" max="2" width="10.08984375" bestFit="1" customWidth="1"/>
    <col min="4" max="4" width="10.7265625" bestFit="1" customWidth="1"/>
    <col min="6" max="6" width="9.90625" bestFit="1" customWidth="1"/>
    <col min="9" max="9" width="10" bestFit="1" customWidth="1"/>
    <col min="12" max="12" width="13.26953125" bestFit="1" customWidth="1"/>
    <col min="13" max="13" width="12.54296875" bestFit="1" customWidth="1"/>
    <col min="14" max="14" width="15.7265625" bestFit="1" customWidth="1"/>
    <col min="15" max="15" width="5.7265625" bestFit="1" customWidth="1"/>
    <col min="16" max="16" width="6.08984375" bestFit="1" customWidth="1"/>
    <col min="17" max="17" width="10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x14ac:dyDescent="0.35">
      <c r="A2">
        <v>1001</v>
      </c>
      <c r="B2" s="1">
        <f>DATE(2024,1,1)</f>
        <v>45292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55000</v>
      </c>
      <c r="I2">
        <v>110000</v>
      </c>
    </row>
    <row r="3" spans="1:15" x14ac:dyDescent="0.35">
      <c r="A3">
        <v>1002</v>
      </c>
      <c r="B3" s="1">
        <v>45293</v>
      </c>
      <c r="C3" t="s">
        <v>13</v>
      </c>
      <c r="D3" t="s">
        <v>14</v>
      </c>
      <c r="E3" t="s">
        <v>15</v>
      </c>
      <c r="F3" t="s">
        <v>12</v>
      </c>
      <c r="G3">
        <v>5</v>
      </c>
      <c r="H3">
        <v>20000</v>
      </c>
      <c r="I3">
        <v>100000</v>
      </c>
    </row>
    <row r="4" spans="1:15" x14ac:dyDescent="0.35">
      <c r="A4">
        <v>1003</v>
      </c>
      <c r="B4" s="1">
        <v>45294</v>
      </c>
      <c r="C4" t="s">
        <v>16</v>
      </c>
      <c r="D4" t="s">
        <v>17</v>
      </c>
      <c r="E4" t="s">
        <v>18</v>
      </c>
      <c r="F4" t="s">
        <v>19</v>
      </c>
      <c r="G4">
        <v>10</v>
      </c>
      <c r="H4">
        <v>3000</v>
      </c>
      <c r="I4">
        <v>30000</v>
      </c>
      <c r="L4" t="s">
        <v>26</v>
      </c>
      <c r="N4" t="s">
        <v>27</v>
      </c>
    </row>
    <row r="5" spans="1:15" x14ac:dyDescent="0.35">
      <c r="A5">
        <v>1004</v>
      </c>
      <c r="B5" s="1">
        <v>45295</v>
      </c>
      <c r="C5" t="s">
        <v>20</v>
      </c>
      <c r="D5" t="s">
        <v>21</v>
      </c>
      <c r="E5" t="s">
        <v>22</v>
      </c>
      <c r="F5" t="s">
        <v>19</v>
      </c>
      <c r="G5">
        <v>3</v>
      </c>
      <c r="H5">
        <v>7000</v>
      </c>
      <c r="I5">
        <v>21000</v>
      </c>
      <c r="L5">
        <f>SUM(G2:G11)</f>
        <v>44</v>
      </c>
      <c r="N5">
        <f>AVERAGE(H2:H11)</f>
        <v>20520</v>
      </c>
    </row>
    <row r="6" spans="1:15" x14ac:dyDescent="0.35">
      <c r="A6">
        <v>1005</v>
      </c>
      <c r="B6" s="1">
        <v>45296</v>
      </c>
      <c r="C6" t="s">
        <v>9</v>
      </c>
      <c r="D6" t="s">
        <v>10</v>
      </c>
      <c r="E6" t="s">
        <v>23</v>
      </c>
      <c r="F6" t="s">
        <v>12</v>
      </c>
      <c r="G6">
        <v>4</v>
      </c>
      <c r="H6">
        <v>15000</v>
      </c>
      <c r="I6">
        <v>60000</v>
      </c>
    </row>
    <row r="7" spans="1:15" x14ac:dyDescent="0.35">
      <c r="A7">
        <v>1006</v>
      </c>
      <c r="B7" s="1">
        <v>45297</v>
      </c>
      <c r="C7" t="s">
        <v>13</v>
      </c>
      <c r="D7" t="s">
        <v>14</v>
      </c>
      <c r="E7" t="s">
        <v>24</v>
      </c>
      <c r="F7" t="s">
        <v>19</v>
      </c>
      <c r="G7">
        <v>2</v>
      </c>
      <c r="H7">
        <v>10000</v>
      </c>
      <c r="I7">
        <v>20000</v>
      </c>
    </row>
    <row r="8" spans="1:15" x14ac:dyDescent="0.35">
      <c r="A8">
        <v>1007</v>
      </c>
      <c r="B8" s="1">
        <v>45298</v>
      </c>
      <c r="C8" t="s">
        <v>16</v>
      </c>
      <c r="D8" t="s">
        <v>17</v>
      </c>
      <c r="E8" t="s">
        <v>15</v>
      </c>
      <c r="F8" t="s">
        <v>12</v>
      </c>
      <c r="G8">
        <v>6</v>
      </c>
      <c r="H8">
        <v>18000</v>
      </c>
      <c r="I8">
        <v>108000</v>
      </c>
      <c r="L8" t="s">
        <v>28</v>
      </c>
      <c r="O8" t="s">
        <v>29</v>
      </c>
    </row>
    <row r="9" spans="1:15" x14ac:dyDescent="0.35">
      <c r="A9">
        <v>1008</v>
      </c>
      <c r="B9" s="1">
        <v>45299</v>
      </c>
      <c r="C9" t="s">
        <v>20</v>
      </c>
      <c r="D9" t="s">
        <v>21</v>
      </c>
      <c r="E9" t="s">
        <v>11</v>
      </c>
      <c r="F9" t="s">
        <v>12</v>
      </c>
      <c r="G9">
        <v>1</v>
      </c>
      <c r="H9">
        <v>60000</v>
      </c>
      <c r="I9">
        <v>60000</v>
      </c>
      <c r="L9">
        <f>MAX(I2:I11)</f>
        <v>110000</v>
      </c>
      <c r="O9">
        <f>MIN(I2:I11)</f>
        <v>20000</v>
      </c>
    </row>
    <row r="10" spans="1:15" x14ac:dyDescent="0.35">
      <c r="A10">
        <v>1009</v>
      </c>
      <c r="B10" s="1">
        <v>45300</v>
      </c>
      <c r="C10" t="s">
        <v>9</v>
      </c>
      <c r="D10" t="s">
        <v>10</v>
      </c>
      <c r="E10" t="s">
        <v>18</v>
      </c>
      <c r="F10" t="s">
        <v>19</v>
      </c>
      <c r="G10">
        <v>8</v>
      </c>
      <c r="H10">
        <v>3200</v>
      </c>
      <c r="I10">
        <v>25600</v>
      </c>
    </row>
    <row r="11" spans="1:15" x14ac:dyDescent="0.35">
      <c r="A11">
        <v>1010</v>
      </c>
      <c r="B11" s="1">
        <v>45301</v>
      </c>
      <c r="C11" t="s">
        <v>13</v>
      </c>
      <c r="D11" t="s">
        <v>14</v>
      </c>
      <c r="E11" t="s">
        <v>23</v>
      </c>
      <c r="F11" t="s">
        <v>12</v>
      </c>
      <c r="G11">
        <v>3</v>
      </c>
      <c r="H11">
        <v>14000</v>
      </c>
      <c r="I11">
        <v>42000</v>
      </c>
      <c r="L11" t="s">
        <v>30</v>
      </c>
    </row>
    <row r="12" spans="1:15" x14ac:dyDescent="0.35">
      <c r="L12">
        <f>COUNTIF(F2:F11,"Electronics")</f>
        <v>6</v>
      </c>
    </row>
    <row r="16" spans="1:15" x14ac:dyDescent="0.35">
      <c r="L16" s="2" t="s">
        <v>2</v>
      </c>
      <c r="M16" t="s">
        <v>25</v>
      </c>
    </row>
    <row r="17" spans="12:13" x14ac:dyDescent="0.35">
      <c r="L17" s="3" t="s">
        <v>9</v>
      </c>
      <c r="M17" s="6">
        <v>195600</v>
      </c>
    </row>
    <row r="18" spans="12:13" x14ac:dyDescent="0.35">
      <c r="L18" s="4" t="s">
        <v>12</v>
      </c>
      <c r="M18" s="5">
        <v>170000</v>
      </c>
    </row>
    <row r="19" spans="12:13" x14ac:dyDescent="0.35">
      <c r="L19" s="4" t="s">
        <v>19</v>
      </c>
      <c r="M19" s="5">
        <v>25600</v>
      </c>
    </row>
    <row r="20" spans="12:13" x14ac:dyDescent="0.35">
      <c r="L20" s="3" t="s">
        <v>16</v>
      </c>
      <c r="M20" s="6">
        <v>138000</v>
      </c>
    </row>
    <row r="21" spans="12:13" x14ac:dyDescent="0.35">
      <c r="L21" s="4" t="s">
        <v>12</v>
      </c>
      <c r="M21" s="5">
        <v>108000</v>
      </c>
    </row>
    <row r="22" spans="12:13" x14ac:dyDescent="0.35">
      <c r="L22" s="4" t="s">
        <v>19</v>
      </c>
      <c r="M22" s="5">
        <v>30000</v>
      </c>
    </row>
    <row r="23" spans="12:13" x14ac:dyDescent="0.35">
      <c r="L23" s="3" t="s">
        <v>13</v>
      </c>
      <c r="M23" s="6">
        <v>162000</v>
      </c>
    </row>
    <row r="24" spans="12:13" x14ac:dyDescent="0.35">
      <c r="L24" s="4" t="s">
        <v>12</v>
      </c>
      <c r="M24" s="5">
        <v>142000</v>
      </c>
    </row>
    <row r="25" spans="12:13" x14ac:dyDescent="0.35">
      <c r="L25" s="4" t="s">
        <v>19</v>
      </c>
      <c r="M25" s="5">
        <v>20000</v>
      </c>
    </row>
    <row r="26" spans="12:13" x14ac:dyDescent="0.35">
      <c r="L26" s="3" t="s">
        <v>20</v>
      </c>
      <c r="M26" s="6">
        <v>81000</v>
      </c>
    </row>
    <row r="27" spans="12:13" x14ac:dyDescent="0.35">
      <c r="L27" s="4" t="s">
        <v>12</v>
      </c>
      <c r="M27" s="5">
        <v>60000</v>
      </c>
    </row>
    <row r="28" spans="12:13" x14ac:dyDescent="0.35">
      <c r="L28" s="4" t="s">
        <v>19</v>
      </c>
      <c r="M28" s="5">
        <v>21000</v>
      </c>
    </row>
    <row r="29" spans="12:13" x14ac:dyDescent="0.35">
      <c r="L29" s="3" t="s">
        <v>31</v>
      </c>
      <c r="M29" s="6">
        <v>576600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Uttekar</dc:creator>
  <cp:lastModifiedBy>Prathmesh Uttekar</cp:lastModifiedBy>
  <dcterms:created xsi:type="dcterms:W3CDTF">2026-03-28T07:23:53Z</dcterms:created>
  <dcterms:modified xsi:type="dcterms:W3CDTF">2026-03-28T08:29:31Z</dcterms:modified>
</cp:coreProperties>
</file>